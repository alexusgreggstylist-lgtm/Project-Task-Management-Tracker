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Me" sheetId="1" r:id="rId5"/>
    <sheet state="visible" name="Task_Tracker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<sst xmlns="http://schemas.openxmlformats.org/spreadsheetml/2006/main" count="133" uniqueCount="83">
  <si>
    <t>PROJECT &amp; TASK MANAGEMENT TRACKER</t>
  </si>
  <si>
    <t>Task_ID</t>
  </si>
  <si>
    <t>Project_Name</t>
  </si>
  <si>
    <t>Task</t>
  </si>
  <si>
    <t>Assigned_To</t>
  </si>
  <si>
    <t>Priority</t>
  </si>
  <si>
    <t>Start_Date</t>
  </si>
  <si>
    <t>Due_Date</t>
  </si>
  <si>
    <t>Status</t>
  </si>
  <si>
    <t>Days_Remaining</t>
  </si>
  <si>
    <t>Task_ Alert</t>
  </si>
  <si>
    <t>T001</t>
  </si>
  <si>
    <t>Website Launch</t>
  </si>
  <si>
    <t>PROJECT OVERVIEW</t>
  </si>
  <si>
    <t>Finalize project brief</t>
  </si>
  <si>
    <t>Alex</t>
  </si>
  <si>
    <t>High</t>
  </si>
  <si>
    <t>This project was created in Google Sheets to organize tasks, monitor deadlines, and track progress across multiple projects.</t>
  </si>
  <si>
    <t>Complete</t>
  </si>
  <si>
    <t>BUSINESS PURPOSE</t>
  </si>
  <si>
    <t>The goal is to help a project coordinator or manager quickly identify completed work, tasks in progress, upcoming deadlines, and overdue tasks.</t>
  </si>
  <si>
    <t>TOOLS USED</t>
  </si>
  <si>
    <t>• Google Sheets</t>
  </si>
  <si>
    <t>• IF and COUNTIF formulas</t>
  </si>
  <si>
    <t>• COUNTA formula</t>
  </si>
  <si>
    <t>• Conditional formatting</t>
  </si>
  <si>
    <t>• Dashboard charts and KPI metrics</t>
  </si>
  <si>
    <t>T002</t>
  </si>
  <si>
    <t>Approve homepage design</t>
  </si>
  <si>
    <t>Jordan</t>
  </si>
  <si>
    <t>KEY FEATURES</t>
  </si>
  <si>
    <t>In Progress</t>
  </si>
  <si>
    <t>• Tracks 15 sample tasks across three projects.</t>
  </si>
  <si>
    <t>• Records task owners, priorities, start dates, due dates, and statuses.</t>
  </si>
  <si>
    <t>T003</t>
  </si>
  <si>
    <t>Write website copy</t>
  </si>
  <si>
    <t>Taylor</t>
  </si>
  <si>
    <t>Medium</t>
  </si>
  <si>
    <t>• Calculates days remaining until a deadline.</t>
  </si>
  <si>
    <t>• Flags tasks as Complete, Overdue, Due Today, or On Track.</t>
  </si>
  <si>
    <t>T004</t>
  </si>
  <si>
    <t>Review mobile layout</t>
  </si>
  <si>
    <t>Morgan</t>
  </si>
  <si>
    <t>• Displays total tasks, completed tasks, in-progress tasks, overdue tasks, and completion rate.</t>
  </si>
  <si>
    <t>Not Started</t>
  </si>
  <si>
    <t>• Visualizes task status using a chart.</t>
  </si>
  <si>
    <t>T005</t>
  </si>
  <si>
    <t>Test website links</t>
  </si>
  <si>
    <t>Low</t>
  </si>
  <si>
    <t>T006</t>
  </si>
  <si>
    <t>Training Program</t>
  </si>
  <si>
    <t>Prepare training materials</t>
  </si>
  <si>
    <t>SKILLS DEMONSTRATED</t>
  </si>
  <si>
    <t>T007</t>
  </si>
  <si>
    <t>Data organization, spreadsheet formulas, deadline tracking, KPI reporting, conditional formatting, and dashboard design.</t>
  </si>
  <si>
    <t>Schedule training sessions</t>
  </si>
  <si>
    <t>DATA DISCLAIMER</t>
  </si>
  <si>
    <t>T008</t>
  </si>
  <si>
    <t>This is a practice portfolio project using fictional sample data. It was created to demonstrate spreadsheet and reporting skills.</t>
  </si>
  <si>
    <t>Project &amp; Task Management Dashboard</t>
  </si>
  <si>
    <t>Confirm attendee list</t>
  </si>
  <si>
    <t>T009</t>
  </si>
  <si>
    <t>Send reminder emails</t>
  </si>
  <si>
    <t>Total Tasks</t>
  </si>
  <si>
    <t>T010</t>
  </si>
  <si>
    <t>Collect feedback forms</t>
  </si>
  <si>
    <t>T011</t>
  </si>
  <si>
    <t>Client Event</t>
  </si>
  <si>
    <t>Confirm venue booking</t>
  </si>
  <si>
    <t>T012</t>
  </si>
  <si>
    <t>Finalize catering order</t>
  </si>
  <si>
    <t>Task Status</t>
  </si>
  <si>
    <t>Number of Tasks</t>
  </si>
  <si>
    <t>Completed Tasks</t>
  </si>
  <si>
    <t>T013</t>
  </si>
  <si>
    <t>Prepare event schedule</t>
  </si>
  <si>
    <t>T014</t>
  </si>
  <si>
    <t>Confirm guest attendance</t>
  </si>
  <si>
    <t>In Progress Tasks</t>
  </si>
  <si>
    <t>T015</t>
  </si>
  <si>
    <t>Send post-event survey</t>
  </si>
  <si>
    <t>Overdue Tasks</t>
  </si>
  <si>
    <t>Completion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</si>
</sst>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20124D"/>
        <bgColor rgb="FF20124D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</fills>
  <borders count="3">
    <border/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0" fontId="4" numFmtId="0" xfId="0" applyBorder="1" applyFont="1"/>
    <xf borderId="1" fillId="0" fontId="4" numFmtId="0" xfId="0" applyBorder="1" applyFont="1"/>
    <xf borderId="0" fillId="3" fontId="5" numFmtId="0" xfId="0" applyAlignment="1" applyFill="1" applyFont="1">
      <alignment horizontal="center" readingOrder="0"/>
    </xf>
    <xf borderId="2" fillId="4" fontId="6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center"/>
    </xf>
    <xf borderId="2" fillId="5" fontId="6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/>
    </xf>
    <xf borderId="2" fillId="4" fontId="1" numFmtId="10" xfId="0" applyAlignment="1" applyBorder="1" applyFill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3" pivot="0" name="Task_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Status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Dashboard!$E$3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Dashboard!$D$4:$D$6</c:f>
            </c:strRef>
          </c:cat>
          <c:val>
            <c:numRef>
              <c:f>Dashboard!$E$4:$E$6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0</xdr:row>
      <xdr:rowOff>238125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_1" name="Table_1" id="1">
  <tableColumns count="10">
    <tableColumn name="Task_ID" id="1"/>
    <tableColumn name="Project_Name" id="2"/>
    <tableColumn name="Task" id="3"/>
    <tableColumn name="Assigned_To" id="4"/>
    <tableColumn name="Priority" id="5"/>
    <tableColumn name="Start_Date" id="6"/>
    <tableColumn name="Due_Date" id="7"/>
    <tableColumn name="Status" id="8"/>
    <tableColumn name="Days_Remaining" id="9"/>
    <tableColumn name="Task_ Alert" id="10"/>
  </tableColumns>
  <tableStyleInfo name="Task_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24.88"/>
  </cols>
  <sheetData>
    <row r="1">
      <c r="A1" s="1" t="s">
        <v>0</v>
      </c>
    </row>
    <row r="3">
      <c r="A3" s="3"/>
    </row>
    <row r="4">
      <c r="A4" s="3" t="s">
        <v>13</v>
      </c>
    </row>
    <row r="5">
      <c r="A5" s="6" t="s">
        <v>17</v>
      </c>
    </row>
    <row r="7">
      <c r="A7" s="3"/>
    </row>
    <row r="8">
      <c r="A8" s="3" t="s">
        <v>19</v>
      </c>
    </row>
    <row r="9">
      <c r="A9" s="6" t="s">
        <v>20</v>
      </c>
    </row>
    <row r="11">
      <c r="A11" s="3"/>
    </row>
    <row r="12">
      <c r="A12" s="3" t="s">
        <v>21</v>
      </c>
    </row>
    <row r="13">
      <c r="A13" s="6" t="s">
        <v>22</v>
      </c>
    </row>
    <row r="14">
      <c r="A14" s="6" t="s">
        <v>23</v>
      </c>
    </row>
    <row r="15">
      <c r="A15" s="6" t="s">
        <v>24</v>
      </c>
    </row>
    <row r="16">
      <c r="A16" s="6" t="s">
        <v>25</v>
      </c>
    </row>
    <row r="17">
      <c r="A17" s="6" t="s">
        <v>26</v>
      </c>
    </row>
    <row r="19">
      <c r="A19" s="3"/>
    </row>
    <row r="20">
      <c r="A20" s="3" t="s">
        <v>30</v>
      </c>
    </row>
    <row r="21">
      <c r="A21" s="6" t="s">
        <v>32</v>
      </c>
    </row>
    <row r="22">
      <c r="A22" s="6" t="s">
        <v>33</v>
      </c>
    </row>
    <row r="23">
      <c r="A23" s="6" t="s">
        <v>38</v>
      </c>
    </row>
    <row r="24">
      <c r="A24" s="6" t="s">
        <v>39</v>
      </c>
    </row>
    <row r="25">
      <c r="A25" s="6" t="s">
        <v>43</v>
      </c>
    </row>
    <row r="26">
      <c r="A26" s="6" t="s">
        <v>45</v>
      </c>
    </row>
    <row r="28">
      <c r="A28" s="3"/>
    </row>
    <row r="29">
      <c r="A29" s="3" t="s">
        <v>52</v>
      </c>
    </row>
    <row r="30">
      <c r="A30" s="6" t="s">
        <v>54</v>
      </c>
    </row>
    <row r="32">
      <c r="A32" s="3"/>
    </row>
    <row r="33">
      <c r="A33" s="3" t="s">
        <v>56</v>
      </c>
    </row>
    <row r="34">
      <c r="A34" s="6" t="s">
        <v>58</v>
      </c>
    </row>
  </sheetData>
  <mergeCells count="21">
    <mergeCell ref="A1:C1"/>
    <mergeCell ref="A3:B3"/>
    <mergeCell ref="A4:B4"/>
    <mergeCell ref="A5:G5"/>
    <mergeCell ref="A7:Z7"/>
    <mergeCell ref="A8:Z8"/>
    <mergeCell ref="A9:Z9"/>
    <mergeCell ref="A24:C24"/>
    <mergeCell ref="A25:E25"/>
    <mergeCell ref="A26:B26"/>
    <mergeCell ref="A28:B28"/>
    <mergeCell ref="A29:B29"/>
    <mergeCell ref="A30:F30"/>
    <mergeCell ref="A34:F34"/>
    <mergeCell ref="A14:B14"/>
    <mergeCell ref="A15:B15"/>
    <mergeCell ref="A16:B16"/>
    <mergeCell ref="A17:B17"/>
    <mergeCell ref="A21:C21"/>
    <mergeCell ref="A22:C22"/>
    <mergeCell ref="A23:C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4.25"/>
    <col customWidth="1" min="9" max="9" width="15.1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>
      <c r="A2" s="4" t="s">
        <v>11</v>
      </c>
      <c r="B2" s="4" t="s">
        <v>12</v>
      </c>
      <c r="C2" s="4" t="s">
        <v>14</v>
      </c>
      <c r="D2" s="4" t="s">
        <v>15</v>
      </c>
      <c r="E2" s="4" t="s">
        <v>16</v>
      </c>
      <c r="F2" s="5">
        <v>46314.0</v>
      </c>
      <c r="G2" s="5">
        <v>46318.0</v>
      </c>
      <c r="H2" s="4" t="s">
        <v>18</v>
      </c>
      <c r="I2" s="7" t="str">
        <f t="shared" ref="I2:I16" si="1">IF(H2="Complete","",G2-TODAY())</f>
        <v/>
      </c>
      <c r="J2" s="8" t="str">
        <f t="shared" ref="J2:J16" si="2">IF(H2="Complete","Complete",IF(G2&lt;TODAY(),"Overdue",IF(G2=TODAY(),"Due Today","On Track")))</f>
        <v>Complete</v>
      </c>
    </row>
    <row r="3">
      <c r="A3" s="4" t="s">
        <v>27</v>
      </c>
      <c r="B3" s="4" t="s">
        <v>12</v>
      </c>
      <c r="C3" s="4" t="s">
        <v>28</v>
      </c>
      <c r="D3" s="4" t="s">
        <v>29</v>
      </c>
      <c r="E3" s="4" t="s">
        <v>16</v>
      </c>
      <c r="F3" s="5">
        <v>46315.0</v>
      </c>
      <c r="G3" s="5">
        <v>46319.0</v>
      </c>
      <c r="H3" s="4" t="s">
        <v>31</v>
      </c>
      <c r="I3" s="7">
        <f t="shared" si="1"/>
        <v>-4</v>
      </c>
      <c r="J3" s="8" t="str">
        <f t="shared" si="2"/>
        <v>Overdue</v>
      </c>
    </row>
    <row r="4">
      <c r="A4" s="4" t="s">
        <v>34</v>
      </c>
      <c r="B4" s="4" t="s">
        <v>12</v>
      </c>
      <c r="C4" s="4" t="s">
        <v>35</v>
      </c>
      <c r="D4" s="4" t="s">
        <v>36</v>
      </c>
      <c r="E4" s="4" t="s">
        <v>37</v>
      </c>
      <c r="F4" s="5">
        <v>46315.0</v>
      </c>
      <c r="G4" s="5">
        <v>46323.0</v>
      </c>
      <c r="H4" s="4" t="s">
        <v>31</v>
      </c>
      <c r="I4" s="7">
        <f t="shared" si="1"/>
        <v>0</v>
      </c>
      <c r="J4" s="8" t="str">
        <f t="shared" si="2"/>
        <v>Due Today</v>
      </c>
    </row>
    <row r="5">
      <c r="A5" s="4" t="s">
        <v>40</v>
      </c>
      <c r="B5" s="4" t="s">
        <v>12</v>
      </c>
      <c r="C5" s="4" t="s">
        <v>41</v>
      </c>
      <c r="D5" s="4" t="s">
        <v>42</v>
      </c>
      <c r="E5" s="4" t="s">
        <v>37</v>
      </c>
      <c r="F5" s="5">
        <v>46316.0</v>
      </c>
      <c r="G5" s="5">
        <v>46321.0</v>
      </c>
      <c r="H5" s="4" t="s">
        <v>44</v>
      </c>
      <c r="I5" s="7">
        <f t="shared" si="1"/>
        <v>-2</v>
      </c>
      <c r="J5" s="8" t="str">
        <f t="shared" si="2"/>
        <v>Overdue</v>
      </c>
    </row>
    <row r="6">
      <c r="A6" s="4" t="s">
        <v>46</v>
      </c>
      <c r="B6" s="4" t="s">
        <v>12</v>
      </c>
      <c r="C6" s="4" t="s">
        <v>47</v>
      </c>
      <c r="D6" s="4" t="s">
        <v>15</v>
      </c>
      <c r="E6" s="4" t="s">
        <v>48</v>
      </c>
      <c r="F6" s="5">
        <v>46317.0</v>
      </c>
      <c r="G6" s="5">
        <v>46324.0</v>
      </c>
      <c r="H6" s="4" t="s">
        <v>44</v>
      </c>
      <c r="I6" s="7">
        <f t="shared" si="1"/>
        <v>1</v>
      </c>
      <c r="J6" s="8" t="str">
        <f t="shared" si="2"/>
        <v>On Track</v>
      </c>
    </row>
    <row r="7">
      <c r="A7" s="4" t="s">
        <v>49</v>
      </c>
      <c r="B7" s="4" t="s">
        <v>50</v>
      </c>
      <c r="C7" s="4" t="s">
        <v>51</v>
      </c>
      <c r="D7" s="4" t="s">
        <v>29</v>
      </c>
      <c r="E7" s="4" t="s">
        <v>16</v>
      </c>
      <c r="F7" s="5">
        <v>46314.0</v>
      </c>
      <c r="G7" s="5">
        <v>46317.0</v>
      </c>
      <c r="H7" s="4" t="s">
        <v>18</v>
      </c>
      <c r="I7" s="7" t="str">
        <f t="shared" si="1"/>
        <v/>
      </c>
      <c r="J7" s="8" t="str">
        <f t="shared" si="2"/>
        <v>Complete</v>
      </c>
    </row>
    <row r="8">
      <c r="A8" s="4" t="s">
        <v>53</v>
      </c>
      <c r="B8" s="4" t="s">
        <v>50</v>
      </c>
      <c r="C8" s="4" t="s">
        <v>55</v>
      </c>
      <c r="D8" s="4" t="s">
        <v>36</v>
      </c>
      <c r="E8" s="4" t="s">
        <v>16</v>
      </c>
      <c r="F8" s="5">
        <v>46315.0</v>
      </c>
      <c r="G8" s="5">
        <v>46318.0</v>
      </c>
      <c r="H8" s="4" t="s">
        <v>31</v>
      </c>
      <c r="I8" s="7">
        <f t="shared" si="1"/>
        <v>-5</v>
      </c>
      <c r="J8" s="8" t="str">
        <f t="shared" si="2"/>
        <v>Overdue</v>
      </c>
    </row>
    <row r="9">
      <c r="A9" s="4" t="s">
        <v>57</v>
      </c>
      <c r="B9" s="4" t="s">
        <v>50</v>
      </c>
      <c r="C9" s="4" t="s">
        <v>60</v>
      </c>
      <c r="D9" s="4" t="s">
        <v>42</v>
      </c>
      <c r="E9" s="4" t="s">
        <v>37</v>
      </c>
      <c r="F9" s="5">
        <v>46315.0</v>
      </c>
      <c r="G9" s="5">
        <v>46317.0</v>
      </c>
      <c r="H9" s="4" t="s">
        <v>44</v>
      </c>
      <c r="I9" s="7">
        <f t="shared" si="1"/>
        <v>-6</v>
      </c>
      <c r="J9" s="8" t="str">
        <f t="shared" si="2"/>
        <v>Overdue</v>
      </c>
    </row>
    <row r="10">
      <c r="A10" s="4" t="s">
        <v>61</v>
      </c>
      <c r="B10" s="4" t="s">
        <v>50</v>
      </c>
      <c r="C10" s="4" t="s">
        <v>62</v>
      </c>
      <c r="D10" s="4" t="s">
        <v>15</v>
      </c>
      <c r="E10" s="4" t="s">
        <v>48</v>
      </c>
      <c r="F10" s="5">
        <v>46316.0</v>
      </c>
      <c r="G10" s="5">
        <v>46322.0</v>
      </c>
      <c r="H10" s="4" t="s">
        <v>44</v>
      </c>
      <c r="I10" s="7">
        <f t="shared" si="1"/>
        <v>-1</v>
      </c>
      <c r="J10" s="8" t="str">
        <f t="shared" si="2"/>
        <v>Overdue</v>
      </c>
    </row>
    <row r="11">
      <c r="A11" s="4" t="s">
        <v>64</v>
      </c>
      <c r="B11" s="4" t="s">
        <v>50</v>
      </c>
      <c r="C11" s="4" t="s">
        <v>65</v>
      </c>
      <c r="D11" s="4" t="s">
        <v>36</v>
      </c>
      <c r="E11" s="4" t="s">
        <v>37</v>
      </c>
      <c r="F11" s="5">
        <v>46317.0</v>
      </c>
      <c r="G11" s="5">
        <v>46325.0</v>
      </c>
      <c r="H11" s="4" t="s">
        <v>44</v>
      </c>
      <c r="I11" s="7">
        <f t="shared" si="1"/>
        <v>2</v>
      </c>
      <c r="J11" s="8" t="str">
        <f t="shared" si="2"/>
        <v>On Track</v>
      </c>
    </row>
    <row r="12">
      <c r="A12" s="4" t="s">
        <v>66</v>
      </c>
      <c r="B12" s="4" t="s">
        <v>67</v>
      </c>
      <c r="C12" s="4" t="s">
        <v>68</v>
      </c>
      <c r="D12" s="4" t="s">
        <v>42</v>
      </c>
      <c r="E12" s="4" t="s">
        <v>16</v>
      </c>
      <c r="F12" s="5">
        <v>46314.0</v>
      </c>
      <c r="G12" s="5">
        <v>46316.0</v>
      </c>
      <c r="H12" s="4" t="s">
        <v>31</v>
      </c>
      <c r="I12" s="7">
        <f t="shared" si="1"/>
        <v>-7</v>
      </c>
      <c r="J12" s="8" t="str">
        <f t="shared" si="2"/>
        <v>Overdue</v>
      </c>
    </row>
    <row r="13">
      <c r="A13" s="4" t="s">
        <v>69</v>
      </c>
      <c r="B13" s="4" t="s">
        <v>67</v>
      </c>
      <c r="C13" s="4" t="s">
        <v>70</v>
      </c>
      <c r="D13" s="4" t="s">
        <v>15</v>
      </c>
      <c r="E13" s="4" t="s">
        <v>16</v>
      </c>
      <c r="F13" s="5">
        <v>46315.0</v>
      </c>
      <c r="G13" s="5">
        <v>46317.0</v>
      </c>
      <c r="H13" s="4" t="s">
        <v>44</v>
      </c>
      <c r="I13" s="7">
        <f t="shared" si="1"/>
        <v>-6</v>
      </c>
      <c r="J13" s="8" t="str">
        <f t="shared" si="2"/>
        <v>Overdue</v>
      </c>
    </row>
    <row r="14">
      <c r="A14" s="4" t="s">
        <v>74</v>
      </c>
      <c r="B14" s="4" t="s">
        <v>67</v>
      </c>
      <c r="C14" s="4" t="s">
        <v>75</v>
      </c>
      <c r="D14" s="4" t="s">
        <v>29</v>
      </c>
      <c r="E14" s="4" t="s">
        <v>37</v>
      </c>
      <c r="F14" s="5">
        <v>46316.0</v>
      </c>
      <c r="G14" s="5">
        <v>46320.0</v>
      </c>
      <c r="H14" s="4" t="s">
        <v>44</v>
      </c>
      <c r="I14" s="7">
        <f t="shared" si="1"/>
        <v>-3</v>
      </c>
      <c r="J14" s="8" t="str">
        <f t="shared" si="2"/>
        <v>Overdue</v>
      </c>
    </row>
    <row r="15">
      <c r="A15" s="4" t="s">
        <v>76</v>
      </c>
      <c r="B15" s="4" t="s">
        <v>67</v>
      </c>
      <c r="C15" s="4" t="s">
        <v>77</v>
      </c>
      <c r="D15" s="4" t="s">
        <v>36</v>
      </c>
      <c r="E15" s="4" t="s">
        <v>37</v>
      </c>
      <c r="F15" s="5">
        <v>46315.0</v>
      </c>
      <c r="G15" s="5">
        <v>46319.0</v>
      </c>
      <c r="H15" s="4" t="s">
        <v>18</v>
      </c>
      <c r="I15" s="7" t="str">
        <f t="shared" si="1"/>
        <v/>
      </c>
      <c r="J15" s="8" t="str">
        <f t="shared" si="2"/>
        <v>Complete</v>
      </c>
    </row>
    <row r="16">
      <c r="A16" s="4" t="s">
        <v>79</v>
      </c>
      <c r="B16" s="4" t="s">
        <v>67</v>
      </c>
      <c r="C16" s="4" t="s">
        <v>80</v>
      </c>
      <c r="D16" s="4" t="s">
        <v>42</v>
      </c>
      <c r="E16" s="4" t="s">
        <v>48</v>
      </c>
      <c r="F16" s="5">
        <v>46317.0</v>
      </c>
      <c r="G16" s="5">
        <v>46326.0</v>
      </c>
      <c r="H16" s="4" t="s">
        <v>44</v>
      </c>
      <c r="I16" s="7">
        <f t="shared" si="1"/>
        <v>3</v>
      </c>
      <c r="J16" s="8" t="str">
        <f t="shared" si="2"/>
        <v>On Track</v>
      </c>
    </row>
  </sheetData>
  <conditionalFormatting sqref="J2:J16">
    <cfRule type="cellIs" dxfId="4" priority="1" operator="equal">
      <formula>"Overdue"</formula>
    </cfRule>
  </conditionalFormatting>
  <conditionalFormatting sqref="J2:J16">
    <cfRule type="cellIs" dxfId="5" priority="2" operator="equal">
      <formula>"Complete"</formula>
    </cfRule>
  </conditionalFormatting>
  <conditionalFormatting sqref="J2:J16">
    <cfRule type="cellIs" dxfId="6" priority="3" operator="equal">
      <formula>"Due Today"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5" max="5" width="13.63"/>
  </cols>
  <sheetData>
    <row r="1">
      <c r="A1" s="9" t="s">
        <v>59</v>
      </c>
    </row>
    <row r="3">
      <c r="A3" s="10" t="s">
        <v>63</v>
      </c>
      <c r="B3" s="11">
        <f>COUNTA(Task_Tracker!A2:A16)</f>
        <v>15</v>
      </c>
      <c r="D3" s="12" t="s">
        <v>71</v>
      </c>
      <c r="E3" s="12" t="s">
        <v>72</v>
      </c>
    </row>
    <row r="4">
      <c r="A4" s="10" t="s">
        <v>73</v>
      </c>
      <c r="B4" s="11">
        <f>COUNTIF(Task_Tracker!H2:H16,"Complete")</f>
        <v>3</v>
      </c>
      <c r="D4" s="12" t="s">
        <v>18</v>
      </c>
      <c r="E4" s="13">
        <f>COUNTIF(Task_Tracker!H2:H16,D4)</f>
        <v>3</v>
      </c>
    </row>
    <row r="5">
      <c r="A5" s="10" t="s">
        <v>78</v>
      </c>
      <c r="B5" s="11">
        <f>COUNTIF(Task_Tracker!H2:H16,"In Progress")</f>
        <v>4</v>
      </c>
      <c r="D5" s="12" t="s">
        <v>31</v>
      </c>
      <c r="E5" s="13">
        <f>COUNTIF(Task_Tracker!H2:H16,D5)</f>
        <v>4</v>
      </c>
    </row>
    <row r="6">
      <c r="A6" s="14" t="s">
        <v>81</v>
      </c>
      <c r="B6" s="15">
        <f>COUNTIF(Task_Tracker!J2:J16,"Overdue")</f>
        <v>8</v>
      </c>
      <c r="D6" s="12" t="s">
        <v>44</v>
      </c>
      <c r="E6" s="13">
        <f>COUNTIF(Task_Tracker!H2:H16,D6)</f>
        <v>8</v>
      </c>
    </row>
    <row r="7">
      <c r="A7" s="10" t="s">
        <v>82</v>
      </c>
      <c r="B7" s="16">
        <f>IFERROR(B4/B3,0)</f>
        <v>0.2</v>
      </c>
    </row>
  </sheetData>
  <mergeCells count="1">
    <mergeCell ref="A1:E1"/>
  </mergeCells>
  <drawing r:id="rId1"/>
</worksheet>
</file>